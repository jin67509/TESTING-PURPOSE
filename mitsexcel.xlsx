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howObjects="none"/>
  <mc:AlternateContent xmlns:mc="http://schemas.openxmlformats.org/markup-compatibility/2006">
    <mc:Choice Requires="x15">
      <x15ac:absPath xmlns:x15ac="http://schemas.microsoft.com/office/spreadsheetml/2010/11/ac" url="C:\Users\Data analytics\Downloads\"/>
    </mc:Choice>
  </mc:AlternateContent>
  <xr:revisionPtr revIDLastSave="0" documentId="13_ncr:1_{23B07761-02A0-4362-AD6D-92C2C494CF6F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jan" sheetId="2" r:id="rId1"/>
    <sheet name="feb" sheetId="5" r:id="rId2"/>
    <sheet name="march" sheetId="6" r:id="rId3"/>
    <sheet name="april" sheetId="7" r:id="rId4"/>
    <sheet name="Sheet1" sheetId="8" r:id="rId5"/>
    <sheet name="Sheet2" sheetId="9" r:id="rId6"/>
    <sheet name="Sheet3" sheetId="10" r:id="rId7"/>
    <sheet name="Sheet4" sheetId="11" r:id="rId8"/>
    <sheet name="Sheet5" sheetId="12" r:id="rId9"/>
    <sheet name="Sheet6" sheetId="13" r:id="rId10"/>
    <sheet name="Sheet7" sheetId="14" r:id="rId11"/>
    <sheet name="Sheet8" sheetId="15" r:id="rId12"/>
    <sheet name="Sheet9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D2" i="16"/>
  <c r="D3" i="16"/>
  <c r="D4" i="16"/>
  <c r="D5" i="16"/>
  <c r="D6" i="16"/>
  <c r="D7" i="16"/>
  <c r="D8" i="16"/>
  <c r="F3" i="15"/>
  <c r="C3" i="16"/>
  <c r="C4" i="16"/>
  <c r="C5" i="16"/>
  <c r="C6" i="16"/>
  <c r="C7" i="16"/>
  <c r="C8" i="16"/>
  <c r="C2" i="16"/>
  <c r="F4" i="15"/>
  <c r="F5" i="15"/>
  <c r="F6" i="15"/>
  <c r="F2" i="15"/>
  <c r="D4" i="15"/>
  <c r="D3" i="15"/>
  <c r="D2" i="15"/>
  <c r="D5" i="15"/>
  <c r="D6" i="15"/>
</calcChain>
</file>

<file path=xl/sharedStrings.xml><?xml version="1.0" encoding="utf-8"?>
<sst xmlns="http://schemas.openxmlformats.org/spreadsheetml/2006/main" count="288" uniqueCount="128">
  <si>
    <t>sujal</t>
  </si>
  <si>
    <t>atul</t>
  </si>
  <si>
    <t>gautam</t>
  </si>
  <si>
    <t>sabhya</t>
  </si>
  <si>
    <t>divyam</t>
  </si>
  <si>
    <t>bhargavi</t>
  </si>
  <si>
    <t>pavani</t>
  </si>
  <si>
    <t>python</t>
  </si>
  <si>
    <t>cpp</t>
  </si>
  <si>
    <t>java</t>
  </si>
  <si>
    <t>html</t>
  </si>
  <si>
    <t>mern</t>
  </si>
  <si>
    <t>full stack</t>
  </si>
  <si>
    <t>excel</t>
  </si>
  <si>
    <t>sql</t>
  </si>
  <si>
    <t>harroop</t>
  </si>
  <si>
    <t>fullname</t>
  </si>
  <si>
    <t>gautam dhawan</t>
  </si>
  <si>
    <t>sujal mahajan</t>
  </si>
  <si>
    <t>atul kumar</t>
  </si>
  <si>
    <t>pavani aggarwal</t>
  </si>
  <si>
    <t>harroop singh</t>
  </si>
  <si>
    <t>divam mahajan</t>
  </si>
  <si>
    <t>sabhya sakuja</t>
  </si>
  <si>
    <t>bhargavi khanna</t>
  </si>
  <si>
    <t>first name</t>
  </si>
  <si>
    <t>lastname</t>
  </si>
  <si>
    <t>divam</t>
  </si>
  <si>
    <t>dhawan</t>
  </si>
  <si>
    <t>mahajan</t>
  </si>
  <si>
    <t>kumar</t>
  </si>
  <si>
    <t>aggarwal</t>
  </si>
  <si>
    <t>singh</t>
  </si>
  <si>
    <t>sakuja</t>
  </si>
  <si>
    <t>khanna</t>
  </si>
  <si>
    <t>id</t>
  </si>
  <si>
    <t>name</t>
  </si>
  <si>
    <t>harman</t>
  </si>
  <si>
    <t>cloud computing</t>
  </si>
  <si>
    <t>harmandeep</t>
  </si>
  <si>
    <t>moti
 choor
 ke 
laddu</t>
  </si>
  <si>
    <t>OrderID</t>
  </si>
  <si>
    <t>OrderDate</t>
  </si>
  <si>
    <t>CustomerName</t>
  </si>
  <si>
    <t>City</t>
  </si>
  <si>
    <t>Product</t>
  </si>
  <si>
    <t>Category</t>
  </si>
  <si>
    <t>Quantity</t>
  </si>
  <si>
    <t>UnitPrice</t>
  </si>
  <si>
    <t>Salesperson</t>
  </si>
  <si>
    <t>PaymentMode</t>
  </si>
  <si>
    <t>Rahul Sharma</t>
  </si>
  <si>
    <t>Amritsar</t>
  </si>
  <si>
    <t>Wall Putty</t>
  </si>
  <si>
    <t>Construction</t>
  </si>
  <si>
    <t>Aman</t>
  </si>
  <si>
    <t>UPI</t>
  </si>
  <si>
    <t>Neha Gupta</t>
  </si>
  <si>
    <t>Ludhiana</t>
  </si>
  <si>
    <t>Tile Adhesive</t>
  </si>
  <si>
    <t>Rohit</t>
  </si>
  <si>
    <t>Cash</t>
  </si>
  <si>
    <t>Amit Kumar</t>
  </si>
  <si>
    <t>Jalandhar</t>
  </si>
  <si>
    <t>Tile Grout</t>
  </si>
  <si>
    <t>Card</t>
  </si>
  <si>
    <t>Simran Kaur</t>
  </si>
  <si>
    <t>Patiala</t>
  </si>
  <si>
    <t>Epoxy Grout</t>
  </si>
  <si>
    <t>Neha</t>
  </si>
  <si>
    <t>Harpreet Singh</t>
  </si>
  <si>
    <t>Bank Transfer</t>
  </si>
  <si>
    <t>Pooja Sharma</t>
  </si>
  <si>
    <t>Tile Cleaner</t>
  </si>
  <si>
    <t>Cleaning</t>
  </si>
  <si>
    <t>Manpreet Singh</t>
  </si>
  <si>
    <t>Batala</t>
  </si>
  <si>
    <t>POP</t>
  </si>
  <si>
    <t>Rajiv Mehta</t>
  </si>
  <si>
    <t>Kiran Verma</t>
  </si>
  <si>
    <t>Gurpreet Singh</t>
  </si>
  <si>
    <t>age</t>
  </si>
  <si>
    <t>city</t>
  </si>
  <si>
    <t>course</t>
  </si>
  <si>
    <t>amritsar</t>
  </si>
  <si>
    <t>patiala</t>
  </si>
  <si>
    <t>data analytics</t>
  </si>
  <si>
    <t>data science</t>
  </si>
  <si>
    <t xml:space="preserve">ai </t>
  </si>
  <si>
    <t>llm engineering</t>
  </si>
  <si>
    <t>college</t>
  </si>
  <si>
    <t>dav</t>
  </si>
  <si>
    <t>gndu</t>
  </si>
  <si>
    <t>cu</t>
  </si>
  <si>
    <t>invoice number</t>
  </si>
  <si>
    <t xml:space="preserve">product name </t>
  </si>
  <si>
    <t>branch</t>
  </si>
  <si>
    <t>inv-001</t>
  </si>
  <si>
    <t>inv-002</t>
  </si>
  <si>
    <t>quantity</t>
  </si>
  <si>
    <t>21-30</t>
  </si>
  <si>
    <t>31-40</t>
  </si>
  <si>
    <t>41-50</t>
  </si>
  <si>
    <t>51-60</t>
  </si>
  <si>
    <t>61-70</t>
  </si>
  <si>
    <t>11-20</t>
  </si>
  <si>
    <t>71-80</t>
  </si>
  <si>
    <t>81-90</t>
  </si>
  <si>
    <t>91-100</t>
  </si>
  <si>
    <t>product</t>
  </si>
  <si>
    <t>unit price</t>
  </si>
  <si>
    <t>hair straightner</t>
  </si>
  <si>
    <t>perfume</t>
  </si>
  <si>
    <t>mascara</t>
  </si>
  <si>
    <t>bag</t>
  </si>
  <si>
    <t>bat</t>
  </si>
  <si>
    <t>revenue</t>
  </si>
  <si>
    <t>gst</t>
  </si>
  <si>
    <t>net revenue</t>
  </si>
  <si>
    <t>jan</t>
  </si>
  <si>
    <t>feb</t>
  </si>
  <si>
    <t>march</t>
  </si>
  <si>
    <t>april</t>
  </si>
  <si>
    <t>may</t>
  </si>
  <si>
    <t>june</t>
  </si>
  <si>
    <t xml:space="preserve">july </t>
  </si>
  <si>
    <t>august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</si>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</sst>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BB5872-48E1-4708-89C4-23B07E9C83EC}" name="Table6" displayName="Table6" ref="F4:H12" totalsRowShown="0">
  <autoFilter ref="F4:H12" xr:uid="{84BB5872-48E1-4708-89C4-23B07E9C83EC}"/>
  <tableColumns count="3">
    <tableColumn id="1" xr3:uid="{597CEAA0-29A3-469F-9685-B257236CB8E3}" name="fullname"/>
    <tableColumn id="2" xr3:uid="{1527B1A7-12FC-4478-BEEE-5FB8CB1EAACF}" name="first name"/>
    <tableColumn id="3" xr3:uid="{C062DCCA-8311-41AF-9F63-B350E3E15A6D}" name="last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45DDC7-6837-4866-BE2C-F218667811E4}" name="Table3" displayName="Table3" ref="A1:K21" totalsRowShown="0">
  <autoFilter ref="A1:K21" xr:uid="{A245DDC7-6837-4866-BE2C-F218667811E4}"/>
  <sortState xmlns:xlrd2="http://schemas.microsoft.com/office/spreadsheetml/2017/richdata2" ref="A2:J21">
    <sortCondition ref="D1:D21"/>
  </sortState>
  <tableColumns count="11">
    <tableColumn id="1" xr3:uid="{0A0CE25C-BBF4-4E3E-8037-72C6608BDF86}" name="OrderID"/>
    <tableColumn id="2" xr3:uid="{087E1B24-8486-46A3-8F98-AABF00AC9959}" name="OrderDate" dataDxfId="1"/>
    <tableColumn id="3" xr3:uid="{A7DD2E61-62E6-4E2D-8CCB-F7DC8F313591}" name="CustomerName"/>
    <tableColumn id="4" xr3:uid="{11D38EE9-14B3-47F3-8811-C6E9F89949E2}" name="City"/>
    <tableColumn id="5" xr3:uid="{F58C2084-20E4-4616-AA48-BF1D0C9F98D4}" name="Product"/>
    <tableColumn id="6" xr3:uid="{D30595AD-9A2F-4CD5-B7F0-4EAF5CEF8B7F}" name="Category"/>
    <tableColumn id="7" xr3:uid="{087AE582-2EA5-4920-94BD-583F5A666865}" name="Quantity"/>
    <tableColumn id="8" xr3:uid="{D0C0FE1F-A75A-4460-8EC9-26478583496A}" name="UnitPrice"/>
    <tableColumn id="9" xr3:uid="{D734F795-57F8-40BE-B2E4-DAE907870E51}" name="Salesperson"/>
    <tableColumn id="10" xr3:uid="{FA70620D-EC9E-4DBB-8C74-22A353BDD23F}" name="PaymentMode"/>
    <tableColumn id="11" xr3:uid="{394B7649-74CF-4040-AAC8-AE28AFA869F1}" name="REVENUE" dataDxfId="0">
      <calculatedColumnFormula>Table3[[#This Row],[UnitPrice]]*Table3[[#This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1154-2B0A-4568-B629-8DFD910898EA}">
  <dimension ref="A1:I11"/>
  <sheetViews>
    <sheetView zoomScale="133" workbookViewId="0">
      <selection activeCell="B1" sqref="B1:I1"/>
    </sheetView>
  </sheetViews>
  <sheetFormatPr defaultRowHeight="14.4" x14ac:dyDescent="0.3"/>
  <cols>
    <col min="6" max="6" width="12.21875" customWidth="1"/>
  </cols>
  <sheetData>
    <row r="1" spans="1:9" x14ac:dyDescent="0.3">
      <c r="B1" t="s">
        <v>2</v>
      </c>
      <c r="C1" t="s">
        <v>0</v>
      </c>
      <c r="D1" t="s">
        <v>1</v>
      </c>
      <c r="E1" t="s">
        <v>6</v>
      </c>
      <c r="F1" t="s">
        <v>15</v>
      </c>
      <c r="G1" t="s">
        <v>4</v>
      </c>
      <c r="H1" t="s">
        <v>5</v>
      </c>
      <c r="I1" t="s">
        <v>3</v>
      </c>
    </row>
    <row r="2" spans="1:9" x14ac:dyDescent="0.3">
      <c r="A2" t="s">
        <v>7</v>
      </c>
    </row>
    <row r="3" spans="1:9" x14ac:dyDescent="0.3">
      <c r="A3" t="s">
        <v>8</v>
      </c>
    </row>
    <row r="4" spans="1:9" x14ac:dyDescent="0.3">
      <c r="A4" t="s">
        <v>9</v>
      </c>
      <c r="E4" s="2"/>
      <c r="F4" s="1"/>
    </row>
    <row r="5" spans="1:9" x14ac:dyDescent="0.3">
      <c r="A5" t="s">
        <v>10</v>
      </c>
      <c r="E5" s="2"/>
      <c r="F5" s="1"/>
    </row>
    <row r="6" spans="1:9" x14ac:dyDescent="0.3">
      <c r="A6" t="s">
        <v>11</v>
      </c>
      <c r="E6" s="2"/>
      <c r="F6" s="1"/>
    </row>
    <row r="7" spans="1:9" x14ac:dyDescent="0.3">
      <c r="A7" t="s">
        <v>12</v>
      </c>
      <c r="E7" s="2"/>
      <c r="F7" s="1"/>
    </row>
    <row r="8" spans="1:9" x14ac:dyDescent="0.3">
      <c r="A8" t="s">
        <v>13</v>
      </c>
      <c r="E8" s="2"/>
      <c r="F8" s="1"/>
    </row>
    <row r="9" spans="1:9" x14ac:dyDescent="0.3">
      <c r="A9" t="s">
        <v>14</v>
      </c>
      <c r="E9" s="2"/>
      <c r="F9" s="1"/>
    </row>
    <row r="10" spans="1:9" x14ac:dyDescent="0.3">
      <c r="E10" s="2"/>
      <c r="F10" s="1"/>
    </row>
    <row r="11" spans="1:9" x14ac:dyDescent="0.3">
      <c r="E11" s="2"/>
      <c r="F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F7FB-DF79-4642-A452-7FD52D14E7D0}">
  <dimension ref="A1:I9"/>
  <sheetViews>
    <sheetView workbookViewId="0">
      <selection activeCell="J11" sqref="J11"/>
    </sheetView>
  </sheetViews>
  <sheetFormatPr defaultRowHeight="14.4" x14ac:dyDescent="0.3"/>
  <sheetData>
    <row r="1" spans="1:9" x14ac:dyDescent="0.3">
      <c r="B1" t="s">
        <v>1</v>
      </c>
      <c r="C1" t="s">
        <v>6</v>
      </c>
      <c r="D1" t="s">
        <v>15</v>
      </c>
      <c r="E1" t="s">
        <v>4</v>
      </c>
      <c r="F1" t="s">
        <v>5</v>
      </c>
      <c r="G1" t="s">
        <v>3</v>
      </c>
      <c r="H1" t="s">
        <v>2</v>
      </c>
      <c r="I1" t="s">
        <v>0</v>
      </c>
    </row>
    <row r="2" spans="1:9" x14ac:dyDescent="0.3">
      <c r="A2" t="s">
        <v>7</v>
      </c>
    </row>
    <row r="3" spans="1:9" x14ac:dyDescent="0.3">
      <c r="A3" t="s">
        <v>8</v>
      </c>
    </row>
    <row r="4" spans="1:9" x14ac:dyDescent="0.3">
      <c r="A4" t="s">
        <v>9</v>
      </c>
    </row>
    <row r="5" spans="1:9" x14ac:dyDescent="0.3">
      <c r="A5" t="s">
        <v>10</v>
      </c>
    </row>
    <row r="6" spans="1:9" x14ac:dyDescent="0.3">
      <c r="A6" t="s">
        <v>11</v>
      </c>
    </row>
    <row r="7" spans="1:9" x14ac:dyDescent="0.3">
      <c r="A7" t="s">
        <v>12</v>
      </c>
    </row>
    <row r="8" spans="1:9" x14ac:dyDescent="0.3">
      <c r="A8" t="s">
        <v>13</v>
      </c>
    </row>
    <row r="9" spans="1:9" x14ac:dyDescent="0.3">
      <c r="A9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A323-4955-4735-A2C5-ED9DC94C683B}">
  <dimension ref="A1:I9"/>
  <sheetViews>
    <sheetView workbookViewId="0">
      <selection activeCell="O17" sqref="O17"/>
    </sheetView>
  </sheetViews>
  <sheetFormatPr defaultRowHeight="14.4" x14ac:dyDescent="0.3"/>
  <sheetData>
    <row r="1" spans="1:9" x14ac:dyDescent="0.3">
      <c r="B1" t="s">
        <v>1</v>
      </c>
      <c r="C1" t="s">
        <v>6</v>
      </c>
      <c r="D1" t="s">
        <v>15</v>
      </c>
      <c r="E1" t="s">
        <v>4</v>
      </c>
      <c r="F1" t="s">
        <v>5</v>
      </c>
      <c r="G1" t="s">
        <v>3</v>
      </c>
      <c r="H1" t="s">
        <v>2</v>
      </c>
      <c r="I1" t="s">
        <v>0</v>
      </c>
    </row>
    <row r="2" spans="1:9" x14ac:dyDescent="0.3">
      <c r="A2" t="s">
        <v>14</v>
      </c>
    </row>
    <row r="3" spans="1:9" x14ac:dyDescent="0.3">
      <c r="A3" t="s">
        <v>38</v>
      </c>
    </row>
    <row r="4" spans="1:9" x14ac:dyDescent="0.3">
      <c r="A4" t="s">
        <v>8</v>
      </c>
    </row>
    <row r="5" spans="1:9" x14ac:dyDescent="0.3">
      <c r="A5" t="s">
        <v>9</v>
      </c>
    </row>
    <row r="6" spans="1:9" x14ac:dyDescent="0.3">
      <c r="A6" t="s">
        <v>10</v>
      </c>
    </row>
    <row r="7" spans="1:9" x14ac:dyDescent="0.3">
      <c r="A7" t="s">
        <v>11</v>
      </c>
    </row>
    <row r="8" spans="1:9" x14ac:dyDescent="0.3">
      <c r="A8" t="s">
        <v>12</v>
      </c>
    </row>
    <row r="9" spans="1:9" x14ac:dyDescent="0.3">
      <c r="A9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689B-D462-4B0E-840A-71DA9A15C059}">
  <dimension ref="F4:H12"/>
  <sheetViews>
    <sheetView topLeftCell="B3" zoomScale="130" workbookViewId="0">
      <selection activeCell="J10" sqref="J10"/>
    </sheetView>
  </sheetViews>
  <sheetFormatPr defaultRowHeight="14.4" x14ac:dyDescent="0.3"/>
  <cols>
    <col min="6" max="6" width="24.21875" customWidth="1"/>
    <col min="7" max="7" width="11.33203125" customWidth="1"/>
    <col min="8" max="8" width="10.5546875" customWidth="1"/>
  </cols>
  <sheetData>
    <row r="4" spans="6:8" x14ac:dyDescent="0.3">
      <c r="F4" t="s">
        <v>16</v>
      </c>
      <c r="G4" t="s">
        <v>25</v>
      </c>
      <c r="H4" t="s">
        <v>26</v>
      </c>
    </row>
    <row r="5" spans="6:8" x14ac:dyDescent="0.3">
      <c r="F5" t="s">
        <v>17</v>
      </c>
      <c r="G5" t="s">
        <v>2</v>
      </c>
      <c r="H5" t="s">
        <v>28</v>
      </c>
    </row>
    <row r="6" spans="6:8" x14ac:dyDescent="0.3">
      <c r="F6" t="s">
        <v>18</v>
      </c>
      <c r="G6" t="s">
        <v>0</v>
      </c>
      <c r="H6" t="s">
        <v>29</v>
      </c>
    </row>
    <row r="7" spans="6:8" x14ac:dyDescent="0.3">
      <c r="F7" t="s">
        <v>19</v>
      </c>
      <c r="G7" t="s">
        <v>1</v>
      </c>
      <c r="H7" t="s">
        <v>30</v>
      </c>
    </row>
    <row r="8" spans="6:8" x14ac:dyDescent="0.3">
      <c r="F8" t="s">
        <v>20</v>
      </c>
      <c r="G8" t="s">
        <v>6</v>
      </c>
      <c r="H8" t="s">
        <v>31</v>
      </c>
    </row>
    <row r="9" spans="6:8" x14ac:dyDescent="0.3">
      <c r="F9" t="s">
        <v>21</v>
      </c>
      <c r="G9" t="s">
        <v>15</v>
      </c>
      <c r="H9" t="s">
        <v>32</v>
      </c>
    </row>
    <row r="10" spans="6:8" x14ac:dyDescent="0.3">
      <c r="F10" t="s">
        <v>22</v>
      </c>
      <c r="G10" t="s">
        <v>27</v>
      </c>
      <c r="H10" t="s">
        <v>29</v>
      </c>
    </row>
    <row r="11" spans="6:8" x14ac:dyDescent="0.3">
      <c r="F11" t="s">
        <v>23</v>
      </c>
      <c r="G11" t="s">
        <v>3</v>
      </c>
      <c r="H11" t="s">
        <v>33</v>
      </c>
    </row>
    <row r="12" spans="6:8" x14ac:dyDescent="0.3">
      <c r="F12" t="s">
        <v>24</v>
      </c>
      <c r="G12" t="s">
        <v>5</v>
      </c>
      <c r="H12" t="s">
        <v>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F568-F2FF-4858-81C3-10644C1172CC}">
  <dimension ref="A1:B7"/>
  <sheetViews>
    <sheetView zoomScale="145" workbookViewId="0">
      <selection activeCell="C9" sqref="C9"/>
    </sheetView>
  </sheetViews>
  <sheetFormatPr defaultRowHeight="14.4" x14ac:dyDescent="0.3"/>
  <sheetData>
    <row r="1" spans="1:2" x14ac:dyDescent="0.3">
      <c r="A1" t="s">
        <v>35</v>
      </c>
      <c r="B1" t="s">
        <v>36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37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15</v>
      </c>
    </row>
    <row r="7" spans="1:2" x14ac:dyDescent="0.3">
      <c r="A7">
        <v>6</v>
      </c>
      <c r="B7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3508-7EF7-4757-BED9-B424AB4B2BC3}">
  <dimension ref="A1:A8"/>
  <sheetViews>
    <sheetView zoomScale="186" workbookViewId="0">
      <selection activeCell="D7" sqref="D7"/>
    </sheetView>
  </sheetViews>
  <sheetFormatPr defaultRowHeight="14.4" x14ac:dyDescent="0.3"/>
  <sheetData>
    <row r="1" spans="1:1" x14ac:dyDescent="0.3">
      <c r="A1" t="s">
        <v>39</v>
      </c>
    </row>
    <row r="2" spans="1:1" x14ac:dyDescent="0.3">
      <c r="A2" t="s">
        <v>39</v>
      </c>
    </row>
    <row r="3" spans="1:1" x14ac:dyDescent="0.3">
      <c r="A3" t="s">
        <v>6</v>
      </c>
    </row>
    <row r="4" spans="1:1" x14ac:dyDescent="0.3">
      <c r="A4" t="s">
        <v>6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0</v>
      </c>
    </row>
    <row r="8" spans="1:1" x14ac:dyDescent="0.3">
      <c r="A8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D989-DE12-4F6C-8FC4-8B3B31DCDCE8}">
  <dimension ref="C3"/>
  <sheetViews>
    <sheetView workbookViewId="0">
      <selection activeCell="I3" sqref="I3"/>
    </sheetView>
  </sheetViews>
  <sheetFormatPr defaultRowHeight="14.4" x14ac:dyDescent="0.3"/>
  <sheetData>
    <row r="3" spans="3:3" ht="187.2" x14ac:dyDescent="0.3">
      <c r="C3" s="3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8BCE-116E-4352-B9D8-EFA7F3362C20}">
  <dimension ref="A1:K21"/>
  <sheetViews>
    <sheetView tabSelected="1" zoomScale="95" zoomScaleNormal="95" workbookViewId="0">
      <selection activeCell="L1" sqref="L1"/>
    </sheetView>
  </sheetViews>
  <sheetFormatPr defaultRowHeight="14.4" x14ac:dyDescent="0.3"/>
  <cols>
    <col min="1" max="1" width="9.77734375" bestFit="1" customWidth="1"/>
    <col min="2" max="2" width="12" bestFit="1" customWidth="1"/>
    <col min="3" max="3" width="15.88671875" customWidth="1"/>
    <col min="4" max="4" width="14.88671875" customWidth="1"/>
    <col min="5" max="5" width="13" customWidth="1"/>
    <col min="6" max="6" width="16.77734375" customWidth="1"/>
    <col min="7" max="7" width="10.21875" customWidth="1"/>
    <col min="8" max="8" width="10.44140625" customWidth="1"/>
    <col min="9" max="9" width="12.77734375" customWidth="1"/>
    <col min="10" max="10" width="15.21875" customWidth="1"/>
    <col min="11" max="11" width="11.21875" bestFit="1" customWidth="1"/>
  </cols>
  <sheetData>
    <row r="1" spans="1:11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127</v>
      </c>
    </row>
    <row r="2" spans="1:11" x14ac:dyDescent="0.3">
      <c r="A2">
        <v>1015</v>
      </c>
      <c r="B2" s="1">
        <v>46067</v>
      </c>
      <c r="C2" t="s">
        <v>70</v>
      </c>
      <c r="D2" t="s">
        <v>52</v>
      </c>
      <c r="E2" t="s">
        <v>73</v>
      </c>
      <c r="F2" t="s">
        <v>74</v>
      </c>
      <c r="G2">
        <v>15</v>
      </c>
      <c r="H2">
        <v>180</v>
      </c>
      <c r="I2" t="s">
        <v>60</v>
      </c>
      <c r="J2" t="s">
        <v>61</v>
      </c>
      <c r="K2">
        <f>Table3[[#This Row],[UnitPrice]]*Table3[[#This Row],[Quantity]]</f>
        <v>2700</v>
      </c>
    </row>
    <row r="3" spans="1:11" x14ac:dyDescent="0.3">
      <c r="A3">
        <v>1010</v>
      </c>
      <c r="B3" s="1">
        <v>46050</v>
      </c>
      <c r="C3" t="s">
        <v>80</v>
      </c>
      <c r="D3" t="s">
        <v>52</v>
      </c>
      <c r="E3" t="s">
        <v>64</v>
      </c>
      <c r="F3" t="s">
        <v>54</v>
      </c>
      <c r="G3">
        <v>10</v>
      </c>
      <c r="H3">
        <v>280</v>
      </c>
      <c r="I3" t="s">
        <v>55</v>
      </c>
      <c r="J3" t="s">
        <v>61</v>
      </c>
      <c r="K3">
        <f>Table3[[#This Row],[UnitPrice]]*Table3[[#This Row],[Quantity]]</f>
        <v>2800</v>
      </c>
    </row>
    <row r="4" spans="1:11" x14ac:dyDescent="0.3">
      <c r="A4">
        <v>1020</v>
      </c>
      <c r="B4" s="1">
        <v>46081</v>
      </c>
      <c r="C4" t="s">
        <v>80</v>
      </c>
      <c r="D4" t="s">
        <v>52</v>
      </c>
      <c r="E4" t="s">
        <v>59</v>
      </c>
      <c r="F4" t="s">
        <v>54</v>
      </c>
      <c r="G4">
        <v>25</v>
      </c>
      <c r="H4">
        <v>420</v>
      </c>
      <c r="I4" t="s">
        <v>55</v>
      </c>
      <c r="J4" t="s">
        <v>71</v>
      </c>
      <c r="K4">
        <f>Table3[[#This Row],[UnitPrice]]*Table3[[#This Row],[Quantity]]</f>
        <v>10500</v>
      </c>
    </row>
    <row r="5" spans="1:11" x14ac:dyDescent="0.3">
      <c r="A5">
        <v>1011</v>
      </c>
      <c r="B5" s="1">
        <v>46055</v>
      </c>
      <c r="C5" t="s">
        <v>51</v>
      </c>
      <c r="D5" t="s">
        <v>52</v>
      </c>
      <c r="E5" t="s">
        <v>68</v>
      </c>
      <c r="F5" t="s">
        <v>54</v>
      </c>
      <c r="G5">
        <v>7</v>
      </c>
      <c r="H5">
        <v>550</v>
      </c>
      <c r="I5" t="s">
        <v>55</v>
      </c>
      <c r="J5" t="s">
        <v>56</v>
      </c>
      <c r="K5">
        <f>Table3[[#This Row],[UnitPrice]]*Table3[[#This Row],[Quantity]]</f>
        <v>3850</v>
      </c>
    </row>
    <row r="6" spans="1:11" x14ac:dyDescent="0.3">
      <c r="A6">
        <v>1001</v>
      </c>
      <c r="B6" s="1">
        <v>46027</v>
      </c>
      <c r="C6" t="s">
        <v>51</v>
      </c>
      <c r="D6" t="s">
        <v>52</v>
      </c>
      <c r="E6" t="s">
        <v>53</v>
      </c>
      <c r="F6" t="s">
        <v>54</v>
      </c>
      <c r="G6">
        <v>10</v>
      </c>
      <c r="H6">
        <v>650</v>
      </c>
      <c r="I6" t="s">
        <v>55</v>
      </c>
      <c r="J6" t="s">
        <v>56</v>
      </c>
      <c r="K6">
        <f>Table3[[#This Row],[UnitPrice]]*Table3[[#This Row],[Quantity]]</f>
        <v>6500</v>
      </c>
    </row>
    <row r="7" spans="1:11" x14ac:dyDescent="0.3">
      <c r="A7">
        <v>1005</v>
      </c>
      <c r="B7" s="1">
        <v>46037</v>
      </c>
      <c r="C7" t="s">
        <v>70</v>
      </c>
      <c r="D7" t="s">
        <v>52</v>
      </c>
      <c r="E7" t="s">
        <v>53</v>
      </c>
      <c r="F7" t="s">
        <v>54</v>
      </c>
      <c r="G7">
        <v>20</v>
      </c>
      <c r="H7">
        <v>650</v>
      </c>
      <c r="I7" t="s">
        <v>60</v>
      </c>
      <c r="J7" t="s">
        <v>71</v>
      </c>
      <c r="K7">
        <f>Table3[[#This Row],[UnitPrice]]*Table3[[#This Row],[Quantity]]</f>
        <v>13000</v>
      </c>
    </row>
    <row r="8" spans="1:11" x14ac:dyDescent="0.3">
      <c r="A8">
        <v>1017</v>
      </c>
      <c r="B8" s="1">
        <v>46073</v>
      </c>
      <c r="C8" t="s">
        <v>75</v>
      </c>
      <c r="D8" t="s">
        <v>76</v>
      </c>
      <c r="E8" t="s">
        <v>64</v>
      </c>
      <c r="F8" t="s">
        <v>54</v>
      </c>
      <c r="G8">
        <v>9</v>
      </c>
      <c r="H8">
        <v>280</v>
      </c>
      <c r="I8" t="s">
        <v>55</v>
      </c>
      <c r="J8" t="s">
        <v>65</v>
      </c>
      <c r="K8">
        <f>Table3[[#This Row],[UnitPrice]]*Table3[[#This Row],[Quantity]]</f>
        <v>2520</v>
      </c>
    </row>
    <row r="9" spans="1:11" x14ac:dyDescent="0.3">
      <c r="A9">
        <v>1007</v>
      </c>
      <c r="B9" s="1">
        <v>46042</v>
      </c>
      <c r="C9" t="s">
        <v>75</v>
      </c>
      <c r="D9" t="s">
        <v>76</v>
      </c>
      <c r="E9" t="s">
        <v>77</v>
      </c>
      <c r="F9" t="s">
        <v>54</v>
      </c>
      <c r="G9">
        <v>25</v>
      </c>
      <c r="H9">
        <v>320</v>
      </c>
      <c r="I9" t="s">
        <v>55</v>
      </c>
      <c r="J9" t="s">
        <v>56</v>
      </c>
      <c r="K9">
        <f>Table3[[#This Row],[UnitPrice]]*Table3[[#This Row],[Quantity]]</f>
        <v>8000</v>
      </c>
    </row>
    <row r="10" spans="1:11" x14ac:dyDescent="0.3">
      <c r="A10">
        <v>1003</v>
      </c>
      <c r="B10" s="1">
        <v>46032</v>
      </c>
      <c r="C10" t="s">
        <v>62</v>
      </c>
      <c r="D10" t="s">
        <v>63</v>
      </c>
      <c r="E10" t="s">
        <v>64</v>
      </c>
      <c r="F10" t="s">
        <v>54</v>
      </c>
      <c r="G10">
        <v>8</v>
      </c>
      <c r="H10">
        <v>280</v>
      </c>
      <c r="I10" t="s">
        <v>55</v>
      </c>
      <c r="J10" t="s">
        <v>65</v>
      </c>
      <c r="K10">
        <f>Table3[[#This Row],[UnitPrice]]*Table3[[#This Row],[Quantity]]</f>
        <v>2240</v>
      </c>
    </row>
    <row r="11" spans="1:11" x14ac:dyDescent="0.3">
      <c r="A11">
        <v>1013</v>
      </c>
      <c r="B11" s="1">
        <v>46061</v>
      </c>
      <c r="C11" t="s">
        <v>62</v>
      </c>
      <c r="D11" t="s">
        <v>63</v>
      </c>
      <c r="E11" t="s">
        <v>77</v>
      </c>
      <c r="F11" t="s">
        <v>54</v>
      </c>
      <c r="G11">
        <v>20</v>
      </c>
      <c r="H11">
        <v>320</v>
      </c>
      <c r="I11" t="s">
        <v>55</v>
      </c>
      <c r="J11" t="s">
        <v>71</v>
      </c>
      <c r="K11">
        <f>Table3[[#This Row],[UnitPrice]]*Table3[[#This Row],[Quantity]]</f>
        <v>6400</v>
      </c>
    </row>
    <row r="12" spans="1:11" x14ac:dyDescent="0.3">
      <c r="A12">
        <v>1008</v>
      </c>
      <c r="B12" s="1">
        <v>46045</v>
      </c>
      <c r="C12" t="s">
        <v>78</v>
      </c>
      <c r="D12" t="s">
        <v>63</v>
      </c>
      <c r="E12" t="s">
        <v>59</v>
      </c>
      <c r="F12" t="s">
        <v>54</v>
      </c>
      <c r="G12">
        <v>18</v>
      </c>
      <c r="H12">
        <v>420</v>
      </c>
      <c r="I12" t="s">
        <v>60</v>
      </c>
      <c r="J12" t="s">
        <v>65</v>
      </c>
      <c r="K12">
        <f>Table3[[#This Row],[UnitPrice]]*Table3[[#This Row],[Quantity]]</f>
        <v>7560</v>
      </c>
    </row>
    <row r="13" spans="1:11" x14ac:dyDescent="0.3">
      <c r="A13">
        <v>1018</v>
      </c>
      <c r="B13" s="1">
        <v>46076</v>
      </c>
      <c r="C13" t="s">
        <v>78</v>
      </c>
      <c r="D13" t="s">
        <v>63</v>
      </c>
      <c r="E13" t="s">
        <v>68</v>
      </c>
      <c r="F13" t="s">
        <v>54</v>
      </c>
      <c r="G13">
        <v>5</v>
      </c>
      <c r="H13">
        <v>550</v>
      </c>
      <c r="I13" t="s">
        <v>60</v>
      </c>
      <c r="J13" t="s">
        <v>56</v>
      </c>
      <c r="K13">
        <f>Table3[[#This Row],[UnitPrice]]*Table3[[#This Row],[Quantity]]</f>
        <v>2750</v>
      </c>
    </row>
    <row r="14" spans="1:11" x14ac:dyDescent="0.3">
      <c r="A14">
        <v>1006</v>
      </c>
      <c r="B14" s="1">
        <v>46040</v>
      </c>
      <c r="C14" t="s">
        <v>72</v>
      </c>
      <c r="D14" t="s">
        <v>58</v>
      </c>
      <c r="E14" t="s">
        <v>73</v>
      </c>
      <c r="F14" t="s">
        <v>74</v>
      </c>
      <c r="G14">
        <v>12</v>
      </c>
      <c r="H14">
        <v>180</v>
      </c>
      <c r="I14" t="s">
        <v>69</v>
      </c>
      <c r="J14" t="s">
        <v>61</v>
      </c>
      <c r="K14">
        <f>Table3[[#This Row],[UnitPrice]]*Table3[[#This Row],[Quantity]]</f>
        <v>2160</v>
      </c>
    </row>
    <row r="15" spans="1:11" x14ac:dyDescent="0.3">
      <c r="A15">
        <v>1002</v>
      </c>
      <c r="B15" s="1">
        <v>46029</v>
      </c>
      <c r="C15" t="s">
        <v>57</v>
      </c>
      <c r="D15" t="s">
        <v>58</v>
      </c>
      <c r="E15" t="s">
        <v>59</v>
      </c>
      <c r="F15" t="s">
        <v>54</v>
      </c>
      <c r="G15">
        <v>15</v>
      </c>
      <c r="H15">
        <v>420</v>
      </c>
      <c r="I15" t="s">
        <v>60</v>
      </c>
      <c r="J15" t="s">
        <v>61</v>
      </c>
      <c r="K15">
        <f>Table3[[#This Row],[UnitPrice]]*Table3[[#This Row],[Quantity]]</f>
        <v>6300</v>
      </c>
    </row>
    <row r="16" spans="1:11" x14ac:dyDescent="0.3">
      <c r="A16">
        <v>1012</v>
      </c>
      <c r="B16" s="1">
        <v>46058</v>
      </c>
      <c r="C16" t="s">
        <v>57</v>
      </c>
      <c r="D16" t="s">
        <v>58</v>
      </c>
      <c r="E16" t="s">
        <v>53</v>
      </c>
      <c r="F16" t="s">
        <v>54</v>
      </c>
      <c r="G16">
        <v>16</v>
      </c>
      <c r="H16">
        <v>650</v>
      </c>
      <c r="I16" t="s">
        <v>60</v>
      </c>
      <c r="J16" t="s">
        <v>65</v>
      </c>
      <c r="K16">
        <f>Table3[[#This Row],[UnitPrice]]*Table3[[#This Row],[Quantity]]</f>
        <v>10400</v>
      </c>
    </row>
    <row r="17" spans="1:11" x14ac:dyDescent="0.3">
      <c r="A17">
        <v>1016</v>
      </c>
      <c r="B17" s="1">
        <v>46070</v>
      </c>
      <c r="C17" t="s">
        <v>72</v>
      </c>
      <c r="D17" t="s">
        <v>58</v>
      </c>
      <c r="E17" t="s">
        <v>53</v>
      </c>
      <c r="F17" t="s">
        <v>54</v>
      </c>
      <c r="G17">
        <v>22</v>
      </c>
      <c r="H17">
        <v>650</v>
      </c>
      <c r="I17" t="s">
        <v>69</v>
      </c>
      <c r="J17" t="s">
        <v>56</v>
      </c>
      <c r="K17">
        <f>Table3[[#This Row],[UnitPrice]]*Table3[[#This Row],[Quantity]]</f>
        <v>14300</v>
      </c>
    </row>
    <row r="18" spans="1:11" x14ac:dyDescent="0.3">
      <c r="A18">
        <v>1019</v>
      </c>
      <c r="B18" s="1">
        <v>46079</v>
      </c>
      <c r="C18" t="s">
        <v>79</v>
      </c>
      <c r="D18" t="s">
        <v>67</v>
      </c>
      <c r="E18" t="s">
        <v>77</v>
      </c>
      <c r="F18" t="s">
        <v>54</v>
      </c>
      <c r="G18">
        <v>18</v>
      </c>
      <c r="H18">
        <v>320</v>
      </c>
      <c r="I18" t="s">
        <v>69</v>
      </c>
      <c r="J18" t="s">
        <v>61</v>
      </c>
      <c r="K18">
        <f>Table3[[#This Row],[UnitPrice]]*Table3[[#This Row],[Quantity]]</f>
        <v>5760</v>
      </c>
    </row>
    <row r="19" spans="1:11" x14ac:dyDescent="0.3">
      <c r="A19">
        <v>1014</v>
      </c>
      <c r="B19" s="1">
        <v>46064</v>
      </c>
      <c r="C19" t="s">
        <v>66</v>
      </c>
      <c r="D19" t="s">
        <v>67</v>
      </c>
      <c r="E19" t="s">
        <v>59</v>
      </c>
      <c r="F19" t="s">
        <v>54</v>
      </c>
      <c r="G19">
        <v>12</v>
      </c>
      <c r="H19">
        <v>420</v>
      </c>
      <c r="I19" t="s">
        <v>69</v>
      </c>
      <c r="J19" t="s">
        <v>56</v>
      </c>
      <c r="K19">
        <f>Table3[[#This Row],[UnitPrice]]*Table3[[#This Row],[Quantity]]</f>
        <v>5040</v>
      </c>
    </row>
    <row r="20" spans="1:11" x14ac:dyDescent="0.3">
      <c r="A20">
        <v>1004</v>
      </c>
      <c r="B20" s="1">
        <v>46034</v>
      </c>
      <c r="C20" t="s">
        <v>66</v>
      </c>
      <c r="D20" t="s">
        <v>67</v>
      </c>
      <c r="E20" t="s">
        <v>68</v>
      </c>
      <c r="F20" t="s">
        <v>54</v>
      </c>
      <c r="G20">
        <v>6</v>
      </c>
      <c r="H20">
        <v>550</v>
      </c>
      <c r="I20" t="s">
        <v>69</v>
      </c>
      <c r="J20" t="s">
        <v>56</v>
      </c>
      <c r="K20">
        <f>Table3[[#This Row],[UnitPrice]]*Table3[[#This Row],[Quantity]]</f>
        <v>3300</v>
      </c>
    </row>
    <row r="21" spans="1:11" x14ac:dyDescent="0.3">
      <c r="A21">
        <v>1009</v>
      </c>
      <c r="B21" s="1">
        <v>46047</v>
      </c>
      <c r="C21" t="s">
        <v>79</v>
      </c>
      <c r="D21" t="s">
        <v>67</v>
      </c>
      <c r="E21" t="s">
        <v>53</v>
      </c>
      <c r="F21" t="s">
        <v>54</v>
      </c>
      <c r="G21">
        <v>14</v>
      </c>
      <c r="H21">
        <v>650</v>
      </c>
      <c r="I21" t="s">
        <v>69</v>
      </c>
      <c r="J21" t="s">
        <v>56</v>
      </c>
      <c r="K21">
        <f>Table3[[#This Row],[UnitPrice]]*Table3[[#This Row],[Quantity]]</f>
        <v>9100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B5D8-EDEE-4134-B91F-7B9A52B84BED}">
  <dimension ref="A1:J6"/>
  <sheetViews>
    <sheetView topLeftCell="A2" zoomScale="138" workbookViewId="0">
      <selection activeCell="D9" sqref="D9"/>
    </sheetView>
  </sheetViews>
  <sheetFormatPr defaultRowHeight="14.4" x14ac:dyDescent="0.3"/>
  <cols>
    <col min="4" max="4" width="14.77734375" customWidth="1"/>
  </cols>
  <sheetData>
    <row r="1" spans="1:10" x14ac:dyDescent="0.3">
      <c r="A1" t="s">
        <v>36</v>
      </c>
      <c r="B1" t="s">
        <v>81</v>
      </c>
      <c r="C1" t="s">
        <v>82</v>
      </c>
      <c r="D1" t="s">
        <v>83</v>
      </c>
      <c r="E1" t="s">
        <v>90</v>
      </c>
    </row>
    <row r="2" spans="1:10" x14ac:dyDescent="0.3">
      <c r="A2" t="s">
        <v>6</v>
      </c>
      <c r="B2">
        <v>19</v>
      </c>
      <c r="C2" t="s">
        <v>84</v>
      </c>
      <c r="D2" t="s">
        <v>88</v>
      </c>
      <c r="E2" t="s">
        <v>92</v>
      </c>
      <c r="H2" t="s">
        <v>86</v>
      </c>
      <c r="J2" t="s">
        <v>85</v>
      </c>
    </row>
    <row r="3" spans="1:10" x14ac:dyDescent="0.3">
      <c r="A3" t="s">
        <v>27</v>
      </c>
      <c r="B3">
        <v>21</v>
      </c>
      <c r="C3" t="s">
        <v>85</v>
      </c>
      <c r="D3" t="s">
        <v>87</v>
      </c>
      <c r="E3" t="s">
        <v>93</v>
      </c>
      <c r="H3" t="s">
        <v>87</v>
      </c>
      <c r="J3" t="s">
        <v>84</v>
      </c>
    </row>
    <row r="4" spans="1:10" x14ac:dyDescent="0.3">
      <c r="A4" t="s">
        <v>1</v>
      </c>
      <c r="B4">
        <v>22</v>
      </c>
      <c r="C4" t="s">
        <v>84</v>
      </c>
      <c r="D4" t="s">
        <v>89</v>
      </c>
      <c r="E4" t="s">
        <v>91</v>
      </c>
      <c r="H4" t="s">
        <v>88</v>
      </c>
    </row>
    <row r="5" spans="1:10" x14ac:dyDescent="0.3">
      <c r="A5" t="s">
        <v>0</v>
      </c>
      <c r="B5">
        <v>22</v>
      </c>
      <c r="C5" t="s">
        <v>85</v>
      </c>
      <c r="D5" t="s">
        <v>38</v>
      </c>
      <c r="E5" t="s">
        <v>92</v>
      </c>
      <c r="H5" t="s">
        <v>89</v>
      </c>
    </row>
    <row r="6" spans="1:10" x14ac:dyDescent="0.3">
      <c r="H6" t="s">
        <v>38</v>
      </c>
    </row>
  </sheetData>
  <dataValidations count="2">
    <dataValidation type="list" allowBlank="1" showInputMessage="1" showErrorMessage="1" sqref="C2:C1048576" xr:uid="{9CC49E79-D2EB-4B2D-8E29-69C955381417}">
      <formula1>$J$2:$J$3</formula1>
    </dataValidation>
    <dataValidation type="list" allowBlank="1" showInputMessage="1" showErrorMessage="1" sqref="D2:D1048576" xr:uid="{AB51A228-28D0-4C9E-9026-8F59A1C17270}">
      <formula1>$H$2:$H$6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AC6127-BF38-41D0-A83F-1A2078ED531F}">
          <x14:formula1>
            <xm:f>Sheet6!$G$6:$G$8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C37A-27AA-4B72-9B1B-49C2EFB9D159}">
  <dimension ref="G5:J16"/>
  <sheetViews>
    <sheetView workbookViewId="0">
      <selection activeCell="J14" sqref="J14"/>
    </sheetView>
  </sheetViews>
  <sheetFormatPr defaultRowHeight="14.4" x14ac:dyDescent="0.3"/>
  <sheetData>
    <row r="5" spans="7:10" x14ac:dyDescent="0.3">
      <c r="J5" s="4" t="s">
        <v>105</v>
      </c>
    </row>
    <row r="6" spans="7:10" x14ac:dyDescent="0.3">
      <c r="G6" t="s">
        <v>91</v>
      </c>
      <c r="J6" t="s">
        <v>100</v>
      </c>
    </row>
    <row r="7" spans="7:10" x14ac:dyDescent="0.3">
      <c r="G7" t="s">
        <v>92</v>
      </c>
      <c r="J7" t="s">
        <v>101</v>
      </c>
    </row>
    <row r="8" spans="7:10" x14ac:dyDescent="0.3">
      <c r="G8" t="s">
        <v>93</v>
      </c>
      <c r="J8" t="s">
        <v>102</v>
      </c>
    </row>
    <row r="9" spans="7:10" x14ac:dyDescent="0.3">
      <c r="J9" t="s">
        <v>103</v>
      </c>
    </row>
    <row r="10" spans="7:10" x14ac:dyDescent="0.3">
      <c r="J10" t="s">
        <v>104</v>
      </c>
    </row>
    <row r="11" spans="7:10" x14ac:dyDescent="0.3">
      <c r="J11" s="4" t="s">
        <v>106</v>
      </c>
    </row>
    <row r="12" spans="7:10" x14ac:dyDescent="0.3">
      <c r="J12" s="4" t="s">
        <v>107</v>
      </c>
    </row>
    <row r="13" spans="7:10" x14ac:dyDescent="0.3">
      <c r="J13" s="4" t="s">
        <v>108</v>
      </c>
    </row>
    <row r="14" spans="7:10" x14ac:dyDescent="0.3">
      <c r="J14" s="4"/>
    </row>
    <row r="15" spans="7:10" x14ac:dyDescent="0.3">
      <c r="J15" s="4"/>
    </row>
    <row r="16" spans="7:10" x14ac:dyDescent="0.3">
      <c r="J16" s="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3139-4C95-4292-8E63-B11531282022}">
  <dimension ref="B1:E3"/>
  <sheetViews>
    <sheetView topLeftCell="B1" zoomScale="240" workbookViewId="0">
      <selection activeCell="F6" sqref="F6"/>
    </sheetView>
  </sheetViews>
  <sheetFormatPr defaultRowHeight="14.4" x14ac:dyDescent="0.3"/>
  <cols>
    <col min="2" max="2" width="15" customWidth="1"/>
    <col min="3" max="3" width="14.6640625" customWidth="1"/>
  </cols>
  <sheetData>
    <row r="1" spans="2:5" x14ac:dyDescent="0.3">
      <c r="B1" t="s">
        <v>94</v>
      </c>
      <c r="C1" t="s">
        <v>95</v>
      </c>
      <c r="D1" t="s">
        <v>96</v>
      </c>
      <c r="E1" t="s">
        <v>99</v>
      </c>
    </row>
    <row r="2" spans="2:5" x14ac:dyDescent="0.3">
      <c r="B2" t="s">
        <v>97</v>
      </c>
    </row>
    <row r="3" spans="2:5" x14ac:dyDescent="0.3">
      <c r="B3" t="s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0A6B-D401-43AD-B873-E5FFE10C3437}">
  <dimension ref="A1:F6"/>
  <sheetViews>
    <sheetView zoomScale="225" workbookViewId="0">
      <selection activeCell="F3" sqref="F3"/>
    </sheetView>
  </sheetViews>
  <sheetFormatPr defaultRowHeight="14.4" x14ac:dyDescent="0.3"/>
  <cols>
    <col min="1" max="1" width="14.77734375" customWidth="1"/>
    <col min="6" max="6" width="9.77734375" bestFit="1" customWidth="1"/>
  </cols>
  <sheetData>
    <row r="1" spans="1:6" x14ac:dyDescent="0.3">
      <c r="A1" t="s">
        <v>109</v>
      </c>
      <c r="B1" t="s">
        <v>99</v>
      </c>
      <c r="C1" t="s">
        <v>110</v>
      </c>
      <c r="D1" t="s">
        <v>116</v>
      </c>
      <c r="E1" t="s">
        <v>117</v>
      </c>
      <c r="F1" t="s">
        <v>118</v>
      </c>
    </row>
    <row r="2" spans="1:6" x14ac:dyDescent="0.3">
      <c r="A2" t="s">
        <v>111</v>
      </c>
      <c r="B2">
        <v>5</v>
      </c>
      <c r="C2">
        <v>1900</v>
      </c>
      <c r="D2">
        <f>B2*C2</f>
        <v>9500</v>
      </c>
      <c r="E2">
        <v>1.18</v>
      </c>
      <c r="F2">
        <f>D2*$E$2</f>
        <v>11210</v>
      </c>
    </row>
    <row r="3" spans="1:6" x14ac:dyDescent="0.3">
      <c r="A3" t="s">
        <v>112</v>
      </c>
      <c r="B3">
        <v>10</v>
      </c>
      <c r="C3">
        <v>400</v>
      </c>
      <c r="D3">
        <f>B3*C3</f>
        <v>4000</v>
      </c>
      <c r="F3">
        <f>D3*$E$2</f>
        <v>4720</v>
      </c>
    </row>
    <row r="4" spans="1:6" x14ac:dyDescent="0.3">
      <c r="A4" t="s">
        <v>113</v>
      </c>
      <c r="B4">
        <v>15</v>
      </c>
      <c r="C4">
        <v>200</v>
      </c>
      <c r="D4">
        <f>B4*C4</f>
        <v>3000</v>
      </c>
      <c r="F4">
        <f t="shared" ref="F4:F6" si="0">D4*$E$2</f>
        <v>3540</v>
      </c>
    </row>
    <row r="5" spans="1:6" x14ac:dyDescent="0.3">
      <c r="A5" t="s">
        <v>114</v>
      </c>
      <c r="B5">
        <v>3</v>
      </c>
      <c r="C5">
        <v>700</v>
      </c>
      <c r="D5">
        <f t="shared" ref="D5:D6" si="1">B5*C5</f>
        <v>2100</v>
      </c>
      <c r="F5">
        <f t="shared" si="0"/>
        <v>2478</v>
      </c>
    </row>
    <row r="6" spans="1:6" x14ac:dyDescent="0.3">
      <c r="A6" t="s">
        <v>115</v>
      </c>
      <c r="B6">
        <v>5</v>
      </c>
      <c r="C6">
        <v>2000</v>
      </c>
      <c r="D6">
        <f t="shared" si="1"/>
        <v>10000</v>
      </c>
      <c r="F6">
        <f t="shared" si="0"/>
        <v>11800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422B-25AC-451C-BB1B-D5F11471C672}">
  <dimension ref="A1:D10"/>
  <sheetViews>
    <sheetView zoomScale="214" workbookViewId="0">
      <selection activeCell="E7" sqref="E7"/>
    </sheetView>
  </sheetViews>
  <sheetFormatPr defaultRowHeight="14.4" x14ac:dyDescent="0.3"/>
  <cols>
    <col min="4" max="4" width="8.77734375" style="5"/>
  </cols>
  <sheetData>
    <row r="1" spans="1:4" x14ac:dyDescent="0.3">
      <c r="A1" t="s">
        <v>119</v>
      </c>
      <c r="B1">
        <v>10000</v>
      </c>
      <c r="C1">
        <v>0</v>
      </c>
      <c r="D1" s="5">
        <v>0</v>
      </c>
    </row>
    <row r="2" spans="1:4" x14ac:dyDescent="0.3">
      <c r="A2" t="s">
        <v>120</v>
      </c>
      <c r="B2">
        <v>12000</v>
      </c>
      <c r="C2" s="5">
        <f>(B2-B1)/B1</f>
        <v>0.2</v>
      </c>
      <c r="D2" s="5">
        <f>(B2-$B$1)/$B$1</f>
        <v>0.2</v>
      </c>
    </row>
    <row r="3" spans="1:4" x14ac:dyDescent="0.3">
      <c r="A3" t="s">
        <v>121</v>
      </c>
      <c r="B3">
        <v>14500</v>
      </c>
      <c r="C3" s="5">
        <f t="shared" ref="C3:C8" si="0">(B3-B2)/B2</f>
        <v>0.20833333333333334</v>
      </c>
      <c r="D3" s="5">
        <f t="shared" ref="D3:D8" si="1">(B3-$B$1)/$B$1</f>
        <v>0.45</v>
      </c>
    </row>
    <row r="4" spans="1:4" x14ac:dyDescent="0.3">
      <c r="A4" t="s">
        <v>122</v>
      </c>
      <c r="B4">
        <v>13000</v>
      </c>
      <c r="C4" s="5">
        <f t="shared" si="0"/>
        <v>-0.10344827586206896</v>
      </c>
      <c r="D4" s="5">
        <f t="shared" si="1"/>
        <v>0.3</v>
      </c>
    </row>
    <row r="5" spans="1:4" x14ac:dyDescent="0.3">
      <c r="A5" t="s">
        <v>123</v>
      </c>
      <c r="B5">
        <v>18000</v>
      </c>
      <c r="C5" s="5">
        <f t="shared" si="0"/>
        <v>0.38461538461538464</v>
      </c>
      <c r="D5" s="5">
        <f t="shared" si="1"/>
        <v>0.8</v>
      </c>
    </row>
    <row r="6" spans="1:4" x14ac:dyDescent="0.3">
      <c r="A6" t="s">
        <v>124</v>
      </c>
      <c r="B6">
        <v>67000</v>
      </c>
      <c r="C6" s="5">
        <f t="shared" si="0"/>
        <v>2.7222222222222223</v>
      </c>
      <c r="D6" s="5">
        <f t="shared" si="1"/>
        <v>5.7</v>
      </c>
    </row>
    <row r="7" spans="1:4" x14ac:dyDescent="0.3">
      <c r="A7" t="s">
        <v>125</v>
      </c>
      <c r="B7">
        <v>56000</v>
      </c>
      <c r="C7" s="5">
        <f t="shared" si="0"/>
        <v>-0.16417910447761194</v>
      </c>
      <c r="D7" s="5">
        <f t="shared" si="1"/>
        <v>4.5999999999999996</v>
      </c>
    </row>
    <row r="8" spans="1:4" x14ac:dyDescent="0.3">
      <c r="A8" t="s">
        <v>126</v>
      </c>
      <c r="B8">
        <v>100000</v>
      </c>
      <c r="C8" s="5">
        <f t="shared" si="0"/>
        <v>0.7857142857142857</v>
      </c>
      <c r="D8" s="5">
        <f t="shared" si="1"/>
        <v>9</v>
      </c>
    </row>
    <row r="10" spans="1:4" x14ac:dyDescent="0.3"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march</vt:lpstr>
      <vt:lpstr>april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 analytics</cp:lastModifiedBy>
  <dcterms:created xsi:type="dcterms:W3CDTF">2015-06-05T18:17:20Z</dcterms:created>
  <dcterms:modified xsi:type="dcterms:W3CDTF">2026-09-28T10:15:23Z</dcterms:modified>
</cp:coreProperties>
</file>